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idual 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<sst xmlns="http://schemas.openxmlformats.org/spreadsheetml/2006/main" count="42" uniqueCount="36">
  <si>
    <t xml:space="preserve">Vendor Risk Register — Inherent vs. Residual Risk</t>
  </si>
  <si>
    <t xml:space="preserve">Vendor: CloudVault Data Solutions  |  Residual Assessment Date: 2026-07-15</t>
  </si>
  <si>
    <t xml:space="preserve">Finding ID</t>
  </si>
  <si>
    <t xml:space="preserve">Finding Title</t>
  </si>
  <si>
    <t xml:space="preserve">CAP Status</t>
  </si>
  <si>
    <t xml:space="preserve">Inh. Likelihood</t>
  </si>
  <si>
    <t xml:space="preserve">Inh. Impact</t>
  </si>
  <si>
    <t xml:space="preserve">Inherent Score</t>
  </si>
  <si>
    <t xml:space="preserve">Inherent Rating</t>
  </si>
  <si>
    <t xml:space="preserve">Res. Likelihood</t>
  </si>
  <si>
    <t xml:space="preserve">Res. Impact</t>
  </si>
  <si>
    <t xml:space="preserve">Residual Score</t>
  </si>
  <si>
    <t xml:space="preserve">Residual Rating</t>
  </si>
  <si>
    <t xml:space="preserve">Risk Reduction</t>
  </si>
  <si>
    <t xml:space="preserve">F-01</t>
  </si>
  <si>
    <t xml:space="preserve">MFA not mandatory for standard end-user accounts</t>
  </si>
  <si>
    <t xml:space="preserve">Closed</t>
  </si>
  <si>
    <t xml:space="preserve">F-02</t>
  </si>
  <si>
    <t xml:space="preserve">Penetration test exceeds 12-month cadence</t>
  </si>
  <si>
    <t xml:space="preserve">F-03</t>
  </si>
  <si>
    <t xml:space="preserve">SOC 2 exception: untimely access revocation</t>
  </si>
  <si>
    <t xml:space="preserve">F-04</t>
  </si>
  <si>
    <t xml:space="preserve">Manual deprovisioning SLA adherence gap</t>
  </si>
  <si>
    <t xml:space="preserve">F-05</t>
  </si>
  <si>
    <t xml:space="preserve">DR full failover test exceeds cadence</t>
  </si>
  <si>
    <t xml:space="preserve">F-06</t>
  </si>
  <si>
    <t xml:space="preserve">DLP not implemented at application layer</t>
  </si>
  <si>
    <t xml:space="preserve">In Progress</t>
  </si>
  <si>
    <t xml:space="preserve">F-07</t>
  </si>
  <si>
    <t xml:space="preserve">Subprocessor due-diligence not formalized</t>
  </si>
  <si>
    <t xml:space="preserve">F-08</t>
  </si>
  <si>
    <t xml:space="preserve">No formal SLA for Medium/Low vulnerabilities</t>
  </si>
  <si>
    <t xml:space="preserve">F-09</t>
  </si>
  <si>
    <t xml:space="preserve">Customer-managed encryption keys (BYOK) unavailable</t>
  </si>
  <si>
    <t xml:space="preserve">Monitoring (no CAP)</t>
  </si>
  <si>
    <t xml:space="preserve">TOTAL (sum of scores)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</si>
</sst>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6B6B"/>
        </patternFill>
      </fill>
    </dxf>
    <dxf>
      <fill>
        <patternFill>
          <bgColor rgb="FFFFB366"/>
        </patternFill>
      </fill>
    </dxf>
    <dxf>
      <fill>
        <patternFill>
          <bgColor rgb="FFFFF08A"/>
        </patternFill>
      </fill>
    </dxf>
    <dxf>
      <fill>
        <patternFill>
          <bgColor rgb="FFA9D18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08A"/>
      <rgbColor rgb="FFA9D18E"/>
      <rgbColor rgb="FFFF99CC"/>
      <rgbColor rgb="FFCC99FF"/>
      <rgbColor rgb="FFFFB36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2" min="1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4" t="s">
        <v>16</v>
      </c>
      <c r="D5" s="6" t="n">
        <v>4</v>
      </c>
      <c r="E5" s="6" t="n">
        <v>5</v>
      </c>
      <c r="F5" s="6" t="n">
        <f aca="false">D5*E5</f>
        <v>20</v>
      </c>
      <c r="G5" s="6" t="str">
        <f aca="false">IF(F5&gt;=16,"Critical",IF(F5&gt;=10,"High",IF(F5&gt;=5,"Medium","Low")))</f>
        <v>Critical</v>
      </c>
      <c r="H5" s="6" t="n">
        <v>1</v>
      </c>
      <c r="I5" s="6" t="n">
        <v>2</v>
      </c>
      <c r="J5" s="6" t="n">
        <f aca="false">H5*I5</f>
        <v>2</v>
      </c>
      <c r="K5" s="6" t="str">
        <f aca="false">IF(J5&gt;=16,"Critical",IF(J5&gt;=10,"High",IF(J5&gt;=5,"Medium","Low")))</f>
        <v>Low</v>
      </c>
      <c r="L5" s="7" t="n">
        <f aca="false">IFERROR((F5-J5)/F5,0)</f>
        <v>0.9</v>
      </c>
    </row>
    <row r="6" customFormat="false" ht="15" hidden="false" customHeight="false" outlineLevel="0" collapsed="false">
      <c r="A6" s="4" t="s">
        <v>17</v>
      </c>
      <c r="B6" s="5" t="s">
        <v>18</v>
      </c>
      <c r="C6" s="4" t="s">
        <v>16</v>
      </c>
      <c r="D6" s="6" t="n">
        <v>3</v>
      </c>
      <c r="E6" s="6" t="n">
        <v>4</v>
      </c>
      <c r="F6" s="6" t="n">
        <f aca="false">D6*E6</f>
        <v>12</v>
      </c>
      <c r="G6" s="6" t="str">
        <f aca="false">IF(F6&gt;=16,"Critical",IF(F6&gt;=10,"High",IF(F6&gt;=5,"Medium","Low")))</f>
        <v>High</v>
      </c>
      <c r="H6" s="6" t="n">
        <v>1</v>
      </c>
      <c r="I6" s="6" t="n">
        <v>2</v>
      </c>
      <c r="J6" s="6" t="n">
        <f aca="false">H6*I6</f>
        <v>2</v>
      </c>
      <c r="K6" s="6" t="str">
        <f aca="false">IF(J6&gt;=16,"Critical",IF(J6&gt;=10,"High",IF(J6&gt;=5,"Medium","Low")))</f>
        <v>Low</v>
      </c>
      <c r="L6" s="7" t="n">
        <f aca="false">IFERROR((F6-J6)/F6,0)</f>
        <v>0.833333333333333</v>
      </c>
    </row>
    <row r="7" customFormat="false" ht="15" hidden="false" customHeight="false" outlineLevel="0" collapsed="false">
      <c r="A7" s="4" t="s">
        <v>19</v>
      </c>
      <c r="B7" s="5" t="s">
        <v>20</v>
      </c>
      <c r="C7" s="4" t="s">
        <v>16</v>
      </c>
      <c r="D7" s="6" t="n">
        <v>3</v>
      </c>
      <c r="E7" s="6" t="n">
        <v>3</v>
      </c>
      <c r="F7" s="6" t="n">
        <f aca="false">D7*E7</f>
        <v>9</v>
      </c>
      <c r="G7" s="6" t="str">
        <f aca="false">IF(F7&gt;=16,"Critical",IF(F7&gt;=10,"High",IF(F7&gt;=5,"Medium","Low")))</f>
        <v>Medium</v>
      </c>
      <c r="H7" s="6" t="n">
        <v>1</v>
      </c>
      <c r="I7" s="6" t="n">
        <v>2</v>
      </c>
      <c r="J7" s="6" t="n">
        <f aca="false">H7*I7</f>
        <v>2</v>
      </c>
      <c r="K7" s="6" t="str">
        <f aca="false">IF(J7&gt;=16,"Critical",IF(J7&gt;=10,"High",IF(J7&gt;=5,"Medium","Low")))</f>
        <v>Low</v>
      </c>
      <c r="L7" s="7" t="n">
        <f aca="false">IFERROR((F7-J7)/F7,0)</f>
        <v>0.777777777777778</v>
      </c>
    </row>
    <row r="8" customFormat="false" ht="15" hidden="false" customHeight="false" outlineLevel="0" collapsed="false">
      <c r="A8" s="4" t="s">
        <v>21</v>
      </c>
      <c r="B8" s="5" t="s">
        <v>22</v>
      </c>
      <c r="C8" s="4" t="s">
        <v>16</v>
      </c>
      <c r="D8" s="6" t="n">
        <v>3</v>
      </c>
      <c r="E8" s="6" t="n">
        <v>3</v>
      </c>
      <c r="F8" s="6" t="n">
        <f aca="false">D8*E8</f>
        <v>9</v>
      </c>
      <c r="G8" s="6" t="str">
        <f aca="false">IF(F8&gt;=16,"Critical",IF(F8&gt;=10,"High",IF(F8&gt;=5,"Medium","Low")))</f>
        <v>Medium</v>
      </c>
      <c r="H8" s="6" t="n">
        <v>1</v>
      </c>
      <c r="I8" s="6" t="n">
        <v>2</v>
      </c>
      <c r="J8" s="6" t="n">
        <f aca="false">H8*I8</f>
        <v>2</v>
      </c>
      <c r="K8" s="6" t="str">
        <f aca="false">IF(J8&gt;=16,"Critical",IF(J8&gt;=10,"High",IF(J8&gt;=5,"Medium","Low")))</f>
        <v>Low</v>
      </c>
      <c r="L8" s="7" t="n">
        <f aca="false">IFERROR((F8-J8)/F8,0)</f>
        <v>0.777777777777778</v>
      </c>
    </row>
    <row r="9" customFormat="false" ht="15" hidden="false" customHeight="false" outlineLevel="0" collapsed="false">
      <c r="A9" s="4" t="s">
        <v>23</v>
      </c>
      <c r="B9" s="5" t="s">
        <v>24</v>
      </c>
      <c r="C9" s="4" t="s">
        <v>16</v>
      </c>
      <c r="D9" s="6" t="n">
        <v>3</v>
      </c>
      <c r="E9" s="6" t="n">
        <v>4</v>
      </c>
      <c r="F9" s="6" t="n">
        <f aca="false">D9*E9</f>
        <v>12</v>
      </c>
      <c r="G9" s="6" t="str">
        <f aca="false">IF(F9&gt;=16,"Critical",IF(F9&gt;=10,"High",IF(F9&gt;=5,"Medium","Low")))</f>
        <v>High</v>
      </c>
      <c r="H9" s="6" t="n">
        <v>1</v>
      </c>
      <c r="I9" s="6" t="n">
        <v>2</v>
      </c>
      <c r="J9" s="6" t="n">
        <f aca="false">H9*I9</f>
        <v>2</v>
      </c>
      <c r="K9" s="6" t="str">
        <f aca="false">IF(J9&gt;=16,"Critical",IF(J9&gt;=10,"High",IF(J9&gt;=5,"Medium","Low")))</f>
        <v>Low</v>
      </c>
      <c r="L9" s="7" t="n">
        <f aca="false">IFERROR((F9-J9)/F9,0)</f>
        <v>0.833333333333333</v>
      </c>
    </row>
    <row r="10" customFormat="false" ht="15" hidden="false" customHeight="false" outlineLevel="0" collapsed="false">
      <c r="A10" s="4" t="s">
        <v>25</v>
      </c>
      <c r="B10" s="5" t="s">
        <v>26</v>
      </c>
      <c r="C10" s="4" t="s">
        <v>27</v>
      </c>
      <c r="D10" s="6" t="n">
        <v>2</v>
      </c>
      <c r="E10" s="6" t="n">
        <v>4</v>
      </c>
      <c r="F10" s="6" t="n">
        <f aca="false">D10*E10</f>
        <v>8</v>
      </c>
      <c r="G10" s="6" t="str">
        <f aca="false">IF(F10&gt;=16,"Critical",IF(F10&gt;=10,"High",IF(F10&gt;=5,"Medium","Low")))</f>
        <v>Medium</v>
      </c>
      <c r="H10" s="6" t="n">
        <v>2</v>
      </c>
      <c r="I10" s="6" t="n">
        <v>3</v>
      </c>
      <c r="J10" s="6" t="n">
        <f aca="false">H10*I10</f>
        <v>6</v>
      </c>
      <c r="K10" s="6" t="str">
        <f aca="false">IF(J10&gt;=16,"Critical",IF(J10&gt;=10,"High",IF(J10&gt;=5,"Medium","Low")))</f>
        <v>Medium</v>
      </c>
      <c r="L10" s="7" t="n">
        <f aca="false">IFERROR((F10-J10)/F10,0)</f>
        <v>0.25</v>
      </c>
    </row>
    <row r="11" customFormat="false" ht="15" hidden="false" customHeight="false" outlineLevel="0" collapsed="false">
      <c r="A11" s="4" t="s">
        <v>28</v>
      </c>
      <c r="B11" s="5" t="s">
        <v>29</v>
      </c>
      <c r="C11" s="4" t="s">
        <v>16</v>
      </c>
      <c r="D11" s="6" t="n">
        <v>2</v>
      </c>
      <c r="E11" s="6" t="n">
        <v>2</v>
      </c>
      <c r="F11" s="6" t="n">
        <f aca="false">D11*E11</f>
        <v>4</v>
      </c>
      <c r="G11" s="6" t="str">
        <f aca="false">IF(F11&gt;=16,"Critical",IF(F11&gt;=10,"High",IF(F11&gt;=5,"Medium","Low")))</f>
        <v>Low</v>
      </c>
      <c r="H11" s="6" t="n">
        <v>1</v>
      </c>
      <c r="I11" s="6" t="n">
        <v>1</v>
      </c>
      <c r="J11" s="6" t="n">
        <f aca="false">H11*I11</f>
        <v>1</v>
      </c>
      <c r="K11" s="6" t="str">
        <f aca="false">IF(J11&gt;=16,"Critical",IF(J11&gt;=10,"High",IF(J11&gt;=5,"Medium","Low")))</f>
        <v>Low</v>
      </c>
      <c r="L11" s="7" t="n">
        <f aca="false">IFERROR((F11-J11)/F11,0)</f>
        <v>0.75</v>
      </c>
    </row>
    <row r="12" customFormat="false" ht="15" hidden="false" customHeight="false" outlineLevel="0" collapsed="false">
      <c r="A12" s="4" t="s">
        <v>30</v>
      </c>
      <c r="B12" s="5" t="s">
        <v>31</v>
      </c>
      <c r="C12" s="4" t="s">
        <v>16</v>
      </c>
      <c r="D12" s="6" t="n">
        <v>2</v>
      </c>
      <c r="E12" s="6" t="n">
        <v>2</v>
      </c>
      <c r="F12" s="6" t="n">
        <f aca="false">D12*E12</f>
        <v>4</v>
      </c>
      <c r="G12" s="6" t="str">
        <f aca="false">IF(F12&gt;=16,"Critical",IF(F12&gt;=10,"High",IF(F12&gt;=5,"Medium","Low")))</f>
        <v>Low</v>
      </c>
      <c r="H12" s="6" t="n">
        <v>1</v>
      </c>
      <c r="I12" s="6" t="n">
        <v>1</v>
      </c>
      <c r="J12" s="6" t="n">
        <f aca="false">H12*I12</f>
        <v>1</v>
      </c>
      <c r="K12" s="6" t="str">
        <f aca="false">IF(J12&gt;=16,"Critical",IF(J12&gt;=10,"High",IF(J12&gt;=5,"Medium","Low")))</f>
        <v>Low</v>
      </c>
      <c r="L12" s="7" t="n">
        <f aca="false">IFERROR((F12-J12)/F12,0)</f>
        <v>0.75</v>
      </c>
    </row>
    <row r="13" customFormat="false" ht="23.85" hidden="false" customHeight="false" outlineLevel="0" collapsed="false">
      <c r="A13" s="4" t="s">
        <v>32</v>
      </c>
      <c r="B13" s="5" t="s">
        <v>33</v>
      </c>
      <c r="C13" s="4" t="s">
        <v>34</v>
      </c>
      <c r="D13" s="6" t="n">
        <v>1</v>
      </c>
      <c r="E13" s="6" t="n">
        <v>3</v>
      </c>
      <c r="F13" s="6" t="n">
        <f aca="false">D13*E13</f>
        <v>3</v>
      </c>
      <c r="G13" s="6" t="str">
        <f aca="false">IF(F13&gt;=16,"Critical",IF(F13&gt;=10,"High",IF(F13&gt;=5,"Medium","Low")))</f>
        <v>Low</v>
      </c>
      <c r="H13" s="6" t="n">
        <v>1</v>
      </c>
      <c r="I13" s="6" t="n">
        <v>3</v>
      </c>
      <c r="J13" s="6" t="n">
        <f aca="false">H13*I13</f>
        <v>3</v>
      </c>
      <c r="K13" s="6" t="str">
        <f aca="false">IF(J13&gt;=16,"Critical",IF(J13&gt;=10,"High",IF(J13&gt;=5,"Medium","Low")))</f>
        <v>Low</v>
      </c>
      <c r="L13" s="7" t="n">
        <f aca="false">IFERROR((F13-J13)/F13,0)</f>
        <v>0</v>
      </c>
    </row>
    <row r="14" customFormat="false" ht="15" hidden="false" customHeight="false" outlineLevel="0" collapsed="false">
      <c r="A14" s="8"/>
      <c r="B14" s="9" t="s">
        <v>35</v>
      </c>
      <c r="C14" s="8"/>
      <c r="D14" s="8"/>
      <c r="E14" s="8"/>
      <c r="F14" s="10" t="n">
        <f aca="false">SUM(F5:F13)</f>
        <v>81</v>
      </c>
      <c r="G14" s="8"/>
      <c r="H14" s="8"/>
      <c r="I14" s="8"/>
      <c r="J14" s="10" t="n">
        <f aca="false">SUM(J5:J13)</f>
        <v>21</v>
      </c>
      <c r="K14" s="8"/>
      <c r="L14" s="11" t="n">
        <f aca="false">IFERROR((F14-J14)/F14,0)</f>
        <v>0.740740740740741</v>
      </c>
    </row>
  </sheetData>
  <conditionalFormatting sqref="G5:G13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K5:K13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2026-08-03T07:12:47Z</dcterms:created>
  <dc:creator>openpyxl</dc:creator>
  <dc:description/>
  <dc:language>en-US</dc:language>
  <cp:lastModifiedBy/>
  <dcterms:modified xsi:type="dcterms:W3CDTF">2026-08-03T07:12:47Z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