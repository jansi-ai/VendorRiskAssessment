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herent Risk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<sst xmlns="http://schemas.openxmlformats.org/spreadsheetml/2006/main" count="64" uniqueCount="52">
  <si>
    <t xml:space="preserve">Vendor Risk Register — Inherent Risk</t>
  </si>
  <si>
    <t xml:space="preserve">Vendor: CloudVault Data Solutions  |  Assessment Date: 2026-03-05  |  Methodology: Likelihood (1-5) x Impact (1-5)</t>
  </si>
  <si>
    <t xml:space="preserve">Finding ID</t>
  </si>
  <si>
    <t xml:space="preserve">Domain</t>
  </si>
  <si>
    <t xml:space="preserve">Finding Title</t>
  </si>
  <si>
    <t xml:space="preserve">Likelihood (1-5)</t>
  </si>
  <si>
    <t xml:space="preserve">Impact (1-5)</t>
  </si>
  <si>
    <t xml:space="preserve">Inherent Risk Score</t>
  </si>
  <si>
    <t xml:space="preserve">Inherent Risk Rating</t>
  </si>
  <si>
    <t xml:space="preserve">Data Sensitivity</t>
  </si>
  <si>
    <t xml:space="preserve">Owner (Vendor Side)</t>
  </si>
  <si>
    <t xml:space="preserve">Target Remediation (Days)</t>
  </si>
  <si>
    <t xml:space="preserve">F-01</t>
  </si>
  <si>
    <t xml:space="preserve">Access Control</t>
  </si>
  <si>
    <t xml:space="preserve">MFA not mandatory for standard end-user accounts</t>
  </si>
  <si>
    <t xml:space="preserve">Confidential PII/Financial</t>
  </si>
  <si>
    <t xml:space="preserve">VP Engineering</t>
  </si>
  <si>
    <t xml:space="preserve">F-02</t>
  </si>
  <si>
    <t xml:space="preserve">Network Security</t>
  </si>
  <si>
    <t xml:space="preserve">Penetration test exceeds 12-month cadence (15 months)</t>
  </si>
  <si>
    <t xml:space="preserve">CISO</t>
  </si>
  <si>
    <t xml:space="preserve">F-03</t>
  </si>
  <si>
    <t xml:space="preserve">Governance</t>
  </si>
  <si>
    <t xml:space="preserve">SOC 2 exception: untimely access revocation (3 sampled users)</t>
  </si>
  <si>
    <t xml:space="preserve">IT Operations</t>
  </si>
  <si>
    <t xml:space="preserve">F-04</t>
  </si>
  <si>
    <t xml:space="preserve">Manual deprovisioning SLA adherence gap (legacy/contractor accounts)</t>
  </si>
  <si>
    <t xml:space="preserve">F-05</t>
  </si>
  <si>
    <t xml:space="preserve">Business Continuity</t>
  </si>
  <si>
    <t xml:space="preserve">DR full failover test exceeds 12-month cadence (18 months)</t>
  </si>
  <si>
    <t xml:space="preserve">Head of Infrastructure</t>
  </si>
  <si>
    <t xml:space="preserve">F-06</t>
  </si>
  <si>
    <t xml:space="preserve">Data Security</t>
  </si>
  <si>
    <t xml:space="preserve">DLP not implemented at application layer</t>
  </si>
  <si>
    <t xml:space="preserve">F-07</t>
  </si>
  <si>
    <t xml:space="preserve">Fourth-Party Risk</t>
  </si>
  <si>
    <t xml:space="preserve">Subprocessor due-diligence process not formalized</t>
  </si>
  <si>
    <t xml:space="preserve">Director of Compliance</t>
  </si>
  <si>
    <t xml:space="preserve">F-08</t>
  </si>
  <si>
    <t xml:space="preserve">Application Security</t>
  </si>
  <si>
    <t xml:space="preserve">No formal SLA for Medium/Low vulnerability remediation</t>
  </si>
  <si>
    <t xml:space="preserve">Head of Engineering</t>
  </si>
  <si>
    <t xml:space="preserve">F-09</t>
  </si>
  <si>
    <t xml:space="preserve">Customer-managed encryption keys (BYOK) unavailable</t>
  </si>
  <si>
    <t xml:space="preserve">Product Management</t>
  </si>
  <si>
    <t xml:space="preserve">Summary by Rating</t>
  </si>
  <si>
    <t xml:space="preserve">Rating</t>
  </si>
  <si>
    <t xml:space="preserve">Count</t>
  </si>
  <si>
    <t xml:space="preserve">Critical</t>
  </si>
  <si>
    <t xml:space="preserve">High</t>
  </si>
  <si>
    <t xml:space="preserve">Medium</t>
  </si>
  <si>
    <t xml:space="preserve">Low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</si>
</sst>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6B6B"/>
        </patternFill>
      </fill>
    </dxf>
    <dxf>
      <fill>
        <patternFill>
          <bgColor rgb="FFFFB366"/>
        </patternFill>
      </fill>
    </dxf>
    <dxf>
      <fill>
        <patternFill>
          <bgColor rgb="FFFFF08A"/>
        </patternFill>
      </fill>
    </dxf>
    <dxf>
      <fill>
        <patternFill>
          <bgColor rgb="FFA9D18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08A"/>
      <rgbColor rgb="FFA9D18E"/>
      <rgbColor rgb="FFFF99CC"/>
      <rgbColor rgb="FFCC99FF"/>
      <rgbColor rgb="FFFFB36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5" t="s">
        <v>14</v>
      </c>
      <c r="D5" s="6" t="n">
        <v>4</v>
      </c>
      <c r="E5" s="6" t="n">
        <v>5</v>
      </c>
      <c r="F5" s="6" t="n">
        <f aca="false">D5*E5</f>
        <v>20</v>
      </c>
      <c r="G5" s="6" t="str">
        <f aca="false">IF(F5&gt;=16,"Critical",IF(F5&gt;=10,"High",IF(F5&gt;=5,"Medium","Low")))</f>
        <v>Critical</v>
      </c>
      <c r="H5" s="4" t="s">
        <v>15</v>
      </c>
      <c r="I5" s="4" t="s">
        <v>16</v>
      </c>
      <c r="J5" s="6" t="n">
        <v>45</v>
      </c>
    </row>
    <row r="6" customFormat="false" ht="15" hidden="false" customHeight="false" outlineLevel="0" collapsed="false">
      <c r="A6" s="4" t="s">
        <v>17</v>
      </c>
      <c r="B6" s="4" t="s">
        <v>18</v>
      </c>
      <c r="C6" s="5" t="s">
        <v>19</v>
      </c>
      <c r="D6" s="6" t="n">
        <v>3</v>
      </c>
      <c r="E6" s="6" t="n">
        <v>4</v>
      </c>
      <c r="F6" s="6" t="n">
        <f aca="false">D6*E6</f>
        <v>12</v>
      </c>
      <c r="G6" s="6" t="str">
        <f aca="false">IF(F6&gt;=16,"Critical",IF(F6&gt;=10,"High",IF(F6&gt;=5,"Medium","Low")))</f>
        <v>High</v>
      </c>
      <c r="H6" s="4" t="s">
        <v>15</v>
      </c>
      <c r="I6" s="4" t="s">
        <v>20</v>
      </c>
      <c r="J6" s="6" t="n">
        <v>60</v>
      </c>
    </row>
    <row r="7" customFormat="false" ht="23.85" hidden="false" customHeight="false" outlineLevel="0" collapsed="false">
      <c r="A7" s="4" t="s">
        <v>21</v>
      </c>
      <c r="B7" s="4" t="s">
        <v>22</v>
      </c>
      <c r="C7" s="5" t="s">
        <v>23</v>
      </c>
      <c r="D7" s="6" t="n">
        <v>3</v>
      </c>
      <c r="E7" s="6" t="n">
        <v>3</v>
      </c>
      <c r="F7" s="6" t="n">
        <f aca="false">D7*E7</f>
        <v>9</v>
      </c>
      <c r="G7" s="6" t="str">
        <f aca="false">IF(F7&gt;=16,"Critical",IF(F7&gt;=10,"High",IF(F7&gt;=5,"Medium","Low")))</f>
        <v>Medium</v>
      </c>
      <c r="H7" s="4" t="s">
        <v>15</v>
      </c>
      <c r="I7" s="4" t="s">
        <v>24</v>
      </c>
      <c r="J7" s="6" t="n">
        <v>60</v>
      </c>
    </row>
    <row r="8" customFormat="false" ht="23.85" hidden="false" customHeight="false" outlineLevel="0" collapsed="false">
      <c r="A8" s="4" t="s">
        <v>25</v>
      </c>
      <c r="B8" s="4" t="s">
        <v>13</v>
      </c>
      <c r="C8" s="5" t="s">
        <v>26</v>
      </c>
      <c r="D8" s="6" t="n">
        <v>3</v>
      </c>
      <c r="E8" s="6" t="n">
        <v>3</v>
      </c>
      <c r="F8" s="6" t="n">
        <f aca="false">D8*E8</f>
        <v>9</v>
      </c>
      <c r="G8" s="6" t="str">
        <f aca="false">IF(F8&gt;=16,"Critical",IF(F8&gt;=10,"High",IF(F8&gt;=5,"Medium","Low")))</f>
        <v>Medium</v>
      </c>
      <c r="H8" s="4" t="s">
        <v>15</v>
      </c>
      <c r="I8" s="4" t="s">
        <v>24</v>
      </c>
      <c r="J8" s="6" t="n">
        <v>60</v>
      </c>
    </row>
    <row r="9" customFormat="false" ht="23.85" hidden="false" customHeight="false" outlineLevel="0" collapsed="false">
      <c r="A9" s="4" t="s">
        <v>27</v>
      </c>
      <c r="B9" s="4" t="s">
        <v>28</v>
      </c>
      <c r="C9" s="5" t="s">
        <v>29</v>
      </c>
      <c r="D9" s="6" t="n">
        <v>3</v>
      </c>
      <c r="E9" s="6" t="n">
        <v>4</v>
      </c>
      <c r="F9" s="6" t="n">
        <f aca="false">D9*E9</f>
        <v>12</v>
      </c>
      <c r="G9" s="6" t="str">
        <f aca="false">IF(F9&gt;=16,"Critical",IF(F9&gt;=10,"High",IF(F9&gt;=5,"Medium","Low")))</f>
        <v>High</v>
      </c>
      <c r="H9" s="4" t="s">
        <v>15</v>
      </c>
      <c r="I9" s="4" t="s">
        <v>30</v>
      </c>
      <c r="J9" s="6" t="n">
        <v>90</v>
      </c>
    </row>
    <row r="10" customFormat="false" ht="15" hidden="false" customHeight="false" outlineLevel="0" collapsed="false">
      <c r="A10" s="4" t="s">
        <v>31</v>
      </c>
      <c r="B10" s="4" t="s">
        <v>32</v>
      </c>
      <c r="C10" s="5" t="s">
        <v>33</v>
      </c>
      <c r="D10" s="6" t="n">
        <v>2</v>
      </c>
      <c r="E10" s="6" t="n">
        <v>4</v>
      </c>
      <c r="F10" s="6" t="n">
        <f aca="false">D10*E10</f>
        <v>8</v>
      </c>
      <c r="G10" s="6" t="str">
        <f aca="false">IF(F10&gt;=16,"Critical",IF(F10&gt;=10,"High",IF(F10&gt;=5,"Medium","Low")))</f>
        <v>Medium</v>
      </c>
      <c r="H10" s="4" t="s">
        <v>15</v>
      </c>
      <c r="I10" s="4" t="s">
        <v>20</v>
      </c>
      <c r="J10" s="6" t="n">
        <v>120</v>
      </c>
    </row>
    <row r="11" customFormat="false" ht="15" hidden="false" customHeight="false" outlineLevel="0" collapsed="false">
      <c r="A11" s="4" t="s">
        <v>34</v>
      </c>
      <c r="B11" s="4" t="s">
        <v>35</v>
      </c>
      <c r="C11" s="5" t="s">
        <v>36</v>
      </c>
      <c r="D11" s="6" t="n">
        <v>2</v>
      </c>
      <c r="E11" s="6" t="n">
        <v>2</v>
      </c>
      <c r="F11" s="6" t="n">
        <f aca="false">D11*E11</f>
        <v>4</v>
      </c>
      <c r="G11" s="6" t="str">
        <f aca="false">IF(F11&gt;=16,"Critical",IF(F11&gt;=10,"High",IF(F11&gt;=5,"Medium","Low")))</f>
        <v>Low</v>
      </c>
      <c r="H11" s="4" t="s">
        <v>15</v>
      </c>
      <c r="I11" s="4" t="s">
        <v>37</v>
      </c>
      <c r="J11" s="6" t="n">
        <v>90</v>
      </c>
    </row>
    <row r="12" customFormat="false" ht="15" hidden="false" customHeight="false" outlineLevel="0" collapsed="false">
      <c r="A12" s="4" t="s">
        <v>38</v>
      </c>
      <c r="B12" s="4" t="s">
        <v>39</v>
      </c>
      <c r="C12" s="5" t="s">
        <v>40</v>
      </c>
      <c r="D12" s="6" t="n">
        <v>2</v>
      </c>
      <c r="E12" s="6" t="n">
        <v>2</v>
      </c>
      <c r="F12" s="6" t="n">
        <f aca="false">D12*E12</f>
        <v>4</v>
      </c>
      <c r="G12" s="6" t="str">
        <f aca="false">IF(F12&gt;=16,"Critical",IF(F12&gt;=10,"High",IF(F12&gt;=5,"Medium","Low")))</f>
        <v>Low</v>
      </c>
      <c r="H12" s="4" t="s">
        <v>15</v>
      </c>
      <c r="I12" s="4" t="s">
        <v>41</v>
      </c>
      <c r="J12" s="6" t="n">
        <v>90</v>
      </c>
    </row>
    <row r="13" customFormat="false" ht="15" hidden="false" customHeight="false" outlineLevel="0" collapsed="false">
      <c r="A13" s="4" t="s">
        <v>42</v>
      </c>
      <c r="B13" s="4" t="s">
        <v>32</v>
      </c>
      <c r="C13" s="5" t="s">
        <v>43</v>
      </c>
      <c r="D13" s="6" t="n">
        <v>1</v>
      </c>
      <c r="E13" s="6" t="n">
        <v>3</v>
      </c>
      <c r="F13" s="6" t="n">
        <f aca="false">D13*E13</f>
        <v>3</v>
      </c>
      <c r="G13" s="6" t="str">
        <f aca="false">IF(F13&gt;=16,"Critical",IF(F13&gt;=10,"High",IF(F13&gt;=5,"Medium","Low")))</f>
        <v>Low</v>
      </c>
      <c r="H13" s="4" t="s">
        <v>15</v>
      </c>
      <c r="I13" s="4" t="s">
        <v>44</v>
      </c>
      <c r="J13" s="6" t="n">
        <v>270</v>
      </c>
    </row>
    <row r="15" customFormat="false" ht="15" hidden="false" customHeight="false" outlineLevel="0" collapsed="false">
      <c r="A15" s="7" t="s">
        <v>45</v>
      </c>
    </row>
    <row r="16" customFormat="false" ht="15" hidden="false" customHeight="false" outlineLevel="0" collapsed="false">
      <c r="A16" s="8" t="s">
        <v>46</v>
      </c>
      <c r="B16" s="8" t="s">
        <v>47</v>
      </c>
    </row>
    <row r="17" customFormat="false" ht="15" hidden="false" customHeight="false" outlineLevel="0" collapsed="false">
      <c r="A17" s="4" t="s">
        <v>48</v>
      </c>
      <c r="B17" s="9" t="n">
        <f aca="false">COUNTIF(G5:G13,"Critical")</f>
        <v>1</v>
      </c>
    </row>
    <row r="18" customFormat="false" ht="15" hidden="false" customHeight="false" outlineLevel="0" collapsed="false">
      <c r="A18" s="4" t="s">
        <v>49</v>
      </c>
      <c r="B18" s="9" t="n">
        <f aca="false">COUNTIF(G5:G13,"High")</f>
        <v>2</v>
      </c>
    </row>
    <row r="19" customFormat="false" ht="15" hidden="false" customHeight="false" outlineLevel="0" collapsed="false">
      <c r="A19" s="4" t="s">
        <v>50</v>
      </c>
      <c r="B19" s="9" t="n">
        <f aca="false">COUNTIF(G5:G13,"Medium")</f>
        <v>3</v>
      </c>
    </row>
    <row r="20" customFormat="false" ht="15" hidden="false" customHeight="false" outlineLevel="0" collapsed="false">
      <c r="A20" s="4" t="s">
        <v>51</v>
      </c>
      <c r="B20" s="9" t="n">
        <f aca="false">COUNTIF(G5:G13,"Low")</f>
        <v>3</v>
      </c>
    </row>
  </sheetData>
  <conditionalFormatting sqref="G5:G13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2026-08-03T07:10:51Z</dcterms:created>
  <dc:creator>openpyxl</dc:creator>
  <dc:description/>
  <dc:language>en-US</dc:language>
  <cp:lastModifiedBy/>
  <dcterms:modified xsi:type="dcterms:W3CDTF">2026-08-03T07:10:51Z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