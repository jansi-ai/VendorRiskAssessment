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72980e48100fa38/Jansi-Personal/Portfoilo/Vendor Risk Assessment/Project 2/06-risk-scoring/"/>
    </mc:Choice>
  </mc:AlternateContent>
  <xr:revisionPtr revIDLastSave="13" documentId="11_F1DFC1F12AC9B9E2459A09148F81E8B079566E52" xr6:coauthVersionLast="47" xr6:coauthVersionMax="47" xr10:uidLastSave="{A8DF26F6-B5A7-47F6-914A-A7D01A754D01}"/>
  <bookViews>
    <workbookView xWindow="-108" yWindow="-108" windowWidth="23256" windowHeight="12456" tabRatio="500" xr2:uid="{00000000-000D-0000-FFFF-FFFF00000000}"/>
  </bookViews>
  <sheets>
    <sheet name="Risk Regi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1" l="1"/>
  <c r="B22" i="1"/>
  <c r="C21" i="1"/>
  <c r="B21" i="1"/>
  <c r="C20" i="1"/>
  <c r="B20" i="1"/>
  <c r="H16" i="1"/>
  <c r="J16" i="1" s="1"/>
  <c r="G16" i="1"/>
  <c r="H15" i="1"/>
  <c r="J15" i="1" s="1"/>
  <c r="G15" i="1"/>
  <c r="H14" i="1"/>
  <c r="J14" i="1" s="1"/>
  <c r="G14" i="1"/>
  <c r="H13" i="1"/>
  <c r="J13" i="1" s="1"/>
  <c r="G13" i="1"/>
  <c r="H12" i="1"/>
  <c r="J12" i="1" s="1"/>
  <c r="G12" i="1"/>
  <c r="H11" i="1"/>
  <c r="J11" i="1" s="1"/>
  <c r="G11" i="1"/>
  <c r="H10" i="1"/>
  <c r="J10" i="1" s="1"/>
  <c r="G10" i="1"/>
  <c r="H9" i="1"/>
  <c r="J9" i="1" s="1"/>
  <c r="G9" i="1"/>
  <c r="H8" i="1"/>
  <c r="J8" i="1" s="1"/>
  <c r="G8" i="1"/>
  <c r="H7" i="1"/>
  <c r="J7" i="1" s="1"/>
  <c r="G7" i="1"/>
  <c r="H6" i="1"/>
  <c r="J6" i="1" s="1"/>
  <c r="G6" i="1"/>
  <c r="H5" i="1"/>
  <c r="J5" i="1" s="1"/>
  <c r="G5" i="1"/>
</calcChain>
</file>

<file path=xl/sharedStrings.xml><?xml version="1.0" encoding="utf-8"?>
<sst xmlns="http://schemas.openxmlformats.org/spreadsheetml/2006/main" count="104" uniqueCount="59">
  <si>
    <t>Vendor Risk Register — Extended Assessment (CSA CCM)</t>
  </si>
  <si>
    <t>Vendor: Vantage Cloud Systems  |  Findings Issued: 2026-04-10  |  Yellow cells = editable inputs</t>
  </si>
  <si>
    <t>Finding ID</t>
  </si>
  <si>
    <t>Domain</t>
  </si>
  <si>
    <t>Finding Name</t>
  </si>
  <si>
    <t>Label</t>
  </si>
  <si>
    <t>Type</t>
  </si>
  <si>
    <t>Severity</t>
  </si>
  <si>
    <t>Severity Score</t>
  </si>
  <si>
    <t>Treatment Deadline (Days)</t>
  </si>
  <si>
    <t>Issuance Date</t>
  </si>
  <si>
    <t>Due Date</t>
  </si>
  <si>
    <t>Status</t>
  </si>
  <si>
    <t>F-IAM-02</t>
  </si>
  <si>
    <t>IAM</t>
  </si>
  <si>
    <t>Privileged &amp; Remote Access MFA</t>
  </si>
  <si>
    <t>Critical</t>
  </si>
  <si>
    <t>Open</t>
  </si>
  <si>
    <t>F-DSP-02</t>
  </si>
  <si>
    <t>DSP</t>
  </si>
  <si>
    <t>Data Loss Prevention</t>
  </si>
  <si>
    <t>High</t>
  </si>
  <si>
    <t>F-LOG-02</t>
  </si>
  <si>
    <t>LOG</t>
  </si>
  <si>
    <t>Security Event Logging</t>
  </si>
  <si>
    <t>F-TVM-02</t>
  </si>
  <si>
    <t>TVM</t>
  </si>
  <si>
    <t>Authenticated Scan Frequency</t>
  </si>
  <si>
    <t>F-CEK-02</t>
  </si>
  <si>
    <t>CEK</t>
  </si>
  <si>
    <t>Data at Rest and in Transit</t>
  </si>
  <si>
    <t>F-BCR-02</t>
  </si>
  <si>
    <t>BCR</t>
  </si>
  <si>
    <t>Business Continuity Exercises</t>
  </si>
  <si>
    <t>Moderate</t>
  </si>
  <si>
    <t>F-CCC-02</t>
  </si>
  <si>
    <t>CCC</t>
  </si>
  <si>
    <t>Change Approval Process</t>
  </si>
  <si>
    <t>F-DSP-01</t>
  </si>
  <si>
    <t>Data Security &amp; Privacy Lifecycle Mgmt</t>
  </si>
  <si>
    <t>F-HRS-02</t>
  </si>
  <si>
    <t>HRS</t>
  </si>
  <si>
    <t>Security Awareness Training</t>
  </si>
  <si>
    <t>F-IVS-02</t>
  </si>
  <si>
    <t>IVS</t>
  </si>
  <si>
    <t>Network Segmentation</t>
  </si>
  <si>
    <t>F-SEF-02</t>
  </si>
  <si>
    <t>SEF</t>
  </si>
  <si>
    <t>Incident Response Testing</t>
  </si>
  <si>
    <t>F-UEM-02</t>
  </si>
  <si>
    <t>UEM</t>
  </si>
  <si>
    <t>Endpoint Storage Encryption</t>
  </si>
  <si>
    <t>Summary by Severity</t>
  </si>
  <si>
    <t>Count</t>
  </si>
  <si>
    <t>Sum of Scores</t>
  </si>
  <si>
    <t>Missing Capability</t>
  </si>
  <si>
    <t>Technical misconfiguration</t>
  </si>
  <si>
    <t>Critical Security finding</t>
  </si>
  <si>
    <t>Standard finding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</si>
</sst>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/>
    <xf numFmtId="0" fontId="4" fillId="0" borderId="1" xfId="0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3" fillId="2" borderId="0" xfId="0" applyFont="1" applyFill="1"/>
    <xf numFmtId="0" fontId="0" fillId="0" borderId="1" xfId="0" applyBorder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3">
    <dxf>
      <fill>
        <patternFill>
          <bgColor rgb="FFFFF08A"/>
        </patternFill>
      </fill>
    </dxf>
    <dxf>
      <fill>
        <patternFill>
          <bgColor rgb="FFFFB366"/>
        </patternFill>
      </fill>
    </dxf>
    <dxf>
      <fill>
        <patternFill>
          <bgColor rgb="FFFF6B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08A"/>
      <rgbColor rgb="FF99CCFF"/>
      <rgbColor rgb="FFFF99CC"/>
      <rgbColor rgb="FFCC99FF"/>
      <rgbColor rgb="FFFFB3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Normal="100" workbookViewId="0">
      <pane ySplit="4" topLeftCell="A5" activePane="bottomLeft" state="frozen"/>
      <selection pane="bottomLeft" activeCell="D18" sqref="D18"/>
    </sheetView>
  </sheetViews>
  <sheetFormatPr defaultColWidth="8.6640625" defaultRowHeight="14.4" x14ac:dyDescent="0.3"/>
  <cols>
    <col min="1" max="1" width="11" customWidth="1"/>
    <col min="2" max="2" width="9" customWidth="1"/>
    <col min="3" max="3" width="34" customWidth="1"/>
    <col min="4" max="4" width="22.33203125" customWidth="1"/>
    <col min="5" max="5" width="18" customWidth="1"/>
    <col min="6" max="6" width="11" customWidth="1"/>
    <col min="7" max="7" width="12" customWidth="1"/>
    <col min="8" max="8" width="16" customWidth="1"/>
    <col min="9" max="10" width="13" customWidth="1"/>
    <col min="11" max="11" width="10" customWidth="1"/>
  </cols>
  <sheetData>
    <row r="1" spans="1:11" ht="17.399999999999999" x14ac:dyDescent="0.3">
      <c r="A1" s="1" t="s">
        <v>0</v>
      </c>
    </row>
    <row r="2" spans="1:11" x14ac:dyDescent="0.3">
      <c r="A2" s="2" t="s">
        <v>1</v>
      </c>
    </row>
    <row r="4" spans="1:11" ht="26.4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3">
      <c r="A5" s="4" t="s">
        <v>13</v>
      </c>
      <c r="B5" s="4" t="s">
        <v>14</v>
      </c>
      <c r="C5" s="5" t="s">
        <v>15</v>
      </c>
      <c r="D5" s="4" t="s">
        <v>57</v>
      </c>
      <c r="E5" s="4" t="s">
        <v>56</v>
      </c>
      <c r="F5" s="6" t="s">
        <v>16</v>
      </c>
      <c r="G5" s="7">
        <f t="shared" ref="G5:G16" si="0">IF(F5="Critical",10,IF(F5="High",5,1))</f>
        <v>10</v>
      </c>
      <c r="H5" s="7">
        <f t="shared" ref="H5:H16" si="1">IF(F5="Critical",IF(E5="Security Capability",120,30),IF(F5="High",IF(E5="Security Capability",180,90),IF(E5="Security Capability",365,180)))</f>
        <v>30</v>
      </c>
      <c r="I5" s="8">
        <v>46122</v>
      </c>
      <c r="J5" s="9">
        <f t="shared" ref="J5:J16" si="2">I5+H5</f>
        <v>46152</v>
      </c>
      <c r="K5" s="10" t="s">
        <v>17</v>
      </c>
    </row>
    <row r="6" spans="1:11" x14ac:dyDescent="0.3">
      <c r="A6" s="4" t="s">
        <v>18</v>
      </c>
      <c r="B6" s="4" t="s">
        <v>19</v>
      </c>
      <c r="C6" s="5" t="s">
        <v>20</v>
      </c>
      <c r="D6" s="14" t="s">
        <v>58</v>
      </c>
      <c r="E6" s="4" t="s">
        <v>56</v>
      </c>
      <c r="F6" s="6" t="s">
        <v>21</v>
      </c>
      <c r="G6" s="7">
        <f t="shared" si="0"/>
        <v>5</v>
      </c>
      <c r="H6" s="7">
        <f t="shared" si="1"/>
        <v>90</v>
      </c>
      <c r="I6" s="8">
        <v>46122</v>
      </c>
      <c r="J6" s="9">
        <f t="shared" si="2"/>
        <v>46212</v>
      </c>
      <c r="K6" s="10" t="s">
        <v>17</v>
      </c>
    </row>
    <row r="7" spans="1:11" x14ac:dyDescent="0.3">
      <c r="A7" s="4" t="s">
        <v>22</v>
      </c>
      <c r="B7" s="4" t="s">
        <v>23</v>
      </c>
      <c r="C7" s="5" t="s">
        <v>24</v>
      </c>
      <c r="D7" s="4" t="s">
        <v>57</v>
      </c>
      <c r="E7" s="4" t="s">
        <v>56</v>
      </c>
      <c r="F7" s="6" t="s">
        <v>21</v>
      </c>
      <c r="G7" s="7">
        <f t="shared" si="0"/>
        <v>5</v>
      </c>
      <c r="H7" s="7">
        <f t="shared" si="1"/>
        <v>90</v>
      </c>
      <c r="I7" s="8">
        <v>46122</v>
      </c>
      <c r="J7" s="9">
        <f t="shared" si="2"/>
        <v>46212</v>
      </c>
      <c r="K7" s="10" t="s">
        <v>17</v>
      </c>
    </row>
    <row r="8" spans="1:11" x14ac:dyDescent="0.3">
      <c r="A8" s="4" t="s">
        <v>25</v>
      </c>
      <c r="B8" s="4" t="s">
        <v>26</v>
      </c>
      <c r="C8" s="5" t="s">
        <v>27</v>
      </c>
      <c r="D8" s="14" t="s">
        <v>58</v>
      </c>
      <c r="E8" s="4" t="s">
        <v>56</v>
      </c>
      <c r="F8" s="6" t="s">
        <v>21</v>
      </c>
      <c r="G8" s="7">
        <f t="shared" si="0"/>
        <v>5</v>
      </c>
      <c r="H8" s="7">
        <f t="shared" si="1"/>
        <v>90</v>
      </c>
      <c r="I8" s="8">
        <v>46122</v>
      </c>
      <c r="J8" s="9">
        <f t="shared" si="2"/>
        <v>46212</v>
      </c>
      <c r="K8" s="10" t="s">
        <v>17</v>
      </c>
    </row>
    <row r="9" spans="1:11" x14ac:dyDescent="0.3">
      <c r="A9" s="4" t="s">
        <v>28</v>
      </c>
      <c r="B9" s="4" t="s">
        <v>29</v>
      </c>
      <c r="C9" s="5" t="s">
        <v>30</v>
      </c>
      <c r="D9" s="14" t="s">
        <v>58</v>
      </c>
      <c r="E9" s="4" t="s">
        <v>56</v>
      </c>
      <c r="F9" s="6" t="s">
        <v>21</v>
      </c>
      <c r="G9" s="7">
        <f t="shared" si="0"/>
        <v>5</v>
      </c>
      <c r="H9" s="7">
        <f t="shared" si="1"/>
        <v>90</v>
      </c>
      <c r="I9" s="8">
        <v>46122</v>
      </c>
      <c r="J9" s="9">
        <f t="shared" si="2"/>
        <v>46212</v>
      </c>
      <c r="K9" s="10" t="s">
        <v>17</v>
      </c>
    </row>
    <row r="10" spans="1:11" x14ac:dyDescent="0.3">
      <c r="A10" s="4" t="s">
        <v>31</v>
      </c>
      <c r="B10" s="4" t="s">
        <v>32</v>
      </c>
      <c r="C10" s="5" t="s">
        <v>33</v>
      </c>
      <c r="D10" s="14" t="s">
        <v>58</v>
      </c>
      <c r="E10" s="4" t="s">
        <v>55</v>
      </c>
      <c r="F10" s="6" t="s">
        <v>34</v>
      </c>
      <c r="G10" s="7">
        <f t="shared" si="0"/>
        <v>1</v>
      </c>
      <c r="H10" s="7">
        <f t="shared" si="1"/>
        <v>180</v>
      </c>
      <c r="I10" s="8">
        <v>46122</v>
      </c>
      <c r="J10" s="9">
        <f t="shared" si="2"/>
        <v>46302</v>
      </c>
      <c r="K10" s="10" t="s">
        <v>17</v>
      </c>
    </row>
    <row r="11" spans="1:11" x14ac:dyDescent="0.3">
      <c r="A11" s="4" t="s">
        <v>35</v>
      </c>
      <c r="B11" s="4" t="s">
        <v>36</v>
      </c>
      <c r="C11" s="5" t="s">
        <v>37</v>
      </c>
      <c r="D11" s="14" t="s">
        <v>58</v>
      </c>
      <c r="E11" s="4" t="s">
        <v>55</v>
      </c>
      <c r="F11" s="6" t="s">
        <v>34</v>
      </c>
      <c r="G11" s="7">
        <f t="shared" si="0"/>
        <v>1</v>
      </c>
      <c r="H11" s="7">
        <f t="shared" si="1"/>
        <v>180</v>
      </c>
      <c r="I11" s="8">
        <v>46122</v>
      </c>
      <c r="J11" s="9">
        <f t="shared" si="2"/>
        <v>46302</v>
      </c>
      <c r="K11" s="10" t="s">
        <v>17</v>
      </c>
    </row>
    <row r="12" spans="1:11" x14ac:dyDescent="0.3">
      <c r="A12" s="4" t="s">
        <v>38</v>
      </c>
      <c r="B12" s="4" t="s">
        <v>19</v>
      </c>
      <c r="C12" s="5" t="s">
        <v>39</v>
      </c>
      <c r="D12" s="14" t="s">
        <v>58</v>
      </c>
      <c r="E12" s="4" t="s">
        <v>55</v>
      </c>
      <c r="F12" s="6" t="s">
        <v>34</v>
      </c>
      <c r="G12" s="7">
        <f t="shared" si="0"/>
        <v>1</v>
      </c>
      <c r="H12" s="7">
        <f t="shared" si="1"/>
        <v>180</v>
      </c>
      <c r="I12" s="8">
        <v>46122</v>
      </c>
      <c r="J12" s="9">
        <f t="shared" si="2"/>
        <v>46302</v>
      </c>
      <c r="K12" s="10" t="s">
        <v>17</v>
      </c>
    </row>
    <row r="13" spans="1:11" x14ac:dyDescent="0.3">
      <c r="A13" s="4" t="s">
        <v>40</v>
      </c>
      <c r="B13" s="4" t="s">
        <v>41</v>
      </c>
      <c r="C13" s="5" t="s">
        <v>42</v>
      </c>
      <c r="D13" s="4" t="s">
        <v>57</v>
      </c>
      <c r="E13" s="4" t="s">
        <v>55</v>
      </c>
      <c r="F13" s="6" t="s">
        <v>34</v>
      </c>
      <c r="G13" s="7">
        <f t="shared" si="0"/>
        <v>1</v>
      </c>
      <c r="H13" s="7">
        <f t="shared" si="1"/>
        <v>180</v>
      </c>
      <c r="I13" s="8">
        <v>46122</v>
      </c>
      <c r="J13" s="9">
        <f t="shared" si="2"/>
        <v>46302</v>
      </c>
      <c r="K13" s="10" t="s">
        <v>17</v>
      </c>
    </row>
    <row r="14" spans="1:11" x14ac:dyDescent="0.3">
      <c r="A14" s="4" t="s">
        <v>43</v>
      </c>
      <c r="B14" s="4" t="s">
        <v>44</v>
      </c>
      <c r="C14" s="5" t="s">
        <v>45</v>
      </c>
      <c r="D14" s="14" t="s">
        <v>58</v>
      </c>
      <c r="E14" s="4" t="s">
        <v>55</v>
      </c>
      <c r="F14" s="6" t="s">
        <v>34</v>
      </c>
      <c r="G14" s="7">
        <f t="shared" si="0"/>
        <v>1</v>
      </c>
      <c r="H14" s="7">
        <f t="shared" si="1"/>
        <v>180</v>
      </c>
      <c r="I14" s="8">
        <v>46122</v>
      </c>
      <c r="J14" s="9">
        <f t="shared" si="2"/>
        <v>46302</v>
      </c>
      <c r="K14" s="10" t="s">
        <v>17</v>
      </c>
    </row>
    <row r="15" spans="1:11" x14ac:dyDescent="0.3">
      <c r="A15" s="4" t="s">
        <v>46</v>
      </c>
      <c r="B15" s="4" t="s">
        <v>47</v>
      </c>
      <c r="C15" s="5" t="s">
        <v>48</v>
      </c>
      <c r="D15" s="14" t="s">
        <v>58</v>
      </c>
      <c r="E15" s="4" t="s">
        <v>55</v>
      </c>
      <c r="F15" s="6" t="s">
        <v>34</v>
      </c>
      <c r="G15" s="7">
        <f t="shared" si="0"/>
        <v>1</v>
      </c>
      <c r="H15" s="7">
        <f t="shared" si="1"/>
        <v>180</v>
      </c>
      <c r="I15" s="8">
        <v>46122</v>
      </c>
      <c r="J15" s="9">
        <f t="shared" si="2"/>
        <v>46302</v>
      </c>
      <c r="K15" s="10" t="s">
        <v>17</v>
      </c>
    </row>
    <row r="16" spans="1:11" x14ac:dyDescent="0.3">
      <c r="A16" s="4" t="s">
        <v>49</v>
      </c>
      <c r="B16" s="4" t="s">
        <v>50</v>
      </c>
      <c r="C16" s="5" t="s">
        <v>51</v>
      </c>
      <c r="D16" s="14" t="s">
        <v>58</v>
      </c>
      <c r="E16" s="4" t="s">
        <v>56</v>
      </c>
      <c r="F16" s="6" t="s">
        <v>34</v>
      </c>
      <c r="G16" s="7">
        <f t="shared" si="0"/>
        <v>1</v>
      </c>
      <c r="H16" s="7">
        <f t="shared" si="1"/>
        <v>180</v>
      </c>
      <c r="I16" s="8">
        <v>46122</v>
      </c>
      <c r="J16" s="9">
        <f t="shared" si="2"/>
        <v>46302</v>
      </c>
      <c r="K16" s="10" t="s">
        <v>17</v>
      </c>
    </row>
    <row r="18" spans="1:3" x14ac:dyDescent="0.3">
      <c r="A18" s="11" t="s">
        <v>52</v>
      </c>
    </row>
    <row r="19" spans="1:3" x14ac:dyDescent="0.3">
      <c r="A19" s="12" t="s">
        <v>7</v>
      </c>
      <c r="B19" s="12" t="s">
        <v>53</v>
      </c>
      <c r="C19" s="12" t="s">
        <v>54</v>
      </c>
    </row>
    <row r="20" spans="1:3" x14ac:dyDescent="0.3">
      <c r="A20" s="4" t="s">
        <v>16</v>
      </c>
      <c r="B20" s="13">
        <f>COUNTIF(F5:F16,"Critical")</f>
        <v>1</v>
      </c>
      <c r="C20" s="13">
        <f>SUMIF(F5:F16,"Critical",G5:G16)</f>
        <v>10</v>
      </c>
    </row>
    <row r="21" spans="1:3" x14ac:dyDescent="0.3">
      <c r="A21" s="4" t="s">
        <v>21</v>
      </c>
      <c r="B21" s="13">
        <f>COUNTIF(F5:F16,"High")</f>
        <v>4</v>
      </c>
      <c r="C21" s="13">
        <f>SUMIF(F5:F16,"High",G5:G16)</f>
        <v>20</v>
      </c>
    </row>
    <row r="22" spans="1:3" x14ac:dyDescent="0.3">
      <c r="A22" s="4" t="s">
        <v>34</v>
      </c>
      <c r="B22" s="13">
        <f>COUNTIF(F5:F16,"Moderate")</f>
        <v>7</v>
      </c>
      <c r="C22" s="13">
        <f>SUMIF(F5:F16,"Moderate",G5:G16)</f>
        <v>7</v>
      </c>
    </row>
  </sheetData>
  <conditionalFormatting sqref="F5:F16">
    <cfRule type="cellIs" dxfId="2" priority="2" operator="equal">
      <formula>"Critical"</formula>
    </cfRule>
    <cfRule type="cellIs" dxfId="1" priority="3" operator="equal">
      <formula>"High"</formula>
    </cfRule>
    <cfRule type="cellIs" dxfId="0" priority="4" operator="equal">
      <formula>"Moderate"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Jansi Mogatala</cp:lastModifiedBy>
  <cp:revision>0</cp:revision>
  <dcterms:created xsi:type="dcterms:W3CDTF">2026-08-04T06:55:05Z</dcterms:created>
  <dcterms:modified xsi:type="dcterms:W3CDTF">2026-08-09T17:00:53Z</dcterms:modified>
  <dc:language>en-US</dc:language>
</cp:coreProperties>
</file>